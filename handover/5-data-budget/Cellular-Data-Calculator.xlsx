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kf\CodeLocal\ucl\yeo\docs\"/>
    </mc:Choice>
  </mc:AlternateContent>
  <xr:revisionPtr revIDLastSave="0" documentId="13_ncr:1_{B48A2495-3AEC-4F83-B4D0-39798A2AA3C5}" xr6:coauthVersionLast="47" xr6:coauthVersionMax="47" xr10:uidLastSave="{00000000-0000-0000-0000-000000000000}"/>
  <bookViews>
    <workbookView xWindow="3840" yWindow="2625" windowWidth="21600" windowHeight="11295" xr2:uid="{00000000-000D-0000-FFFF-FFFF00000000}"/>
  </bookViews>
  <sheets>
    <sheet name="Calculator" sheetId="1" r:id="rId1"/>
    <sheet name="Scenarios" sheetId="2" r:id="rId2"/>
    <sheet name="Re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3" l="1"/>
  <c r="B24" i="3"/>
  <c r="B10" i="3"/>
  <c r="H12" i="2"/>
  <c r="H11" i="2"/>
  <c r="H10" i="2"/>
  <c r="H9" i="2"/>
  <c r="H8" i="2"/>
  <c r="H7" i="2"/>
  <c r="H6" i="2"/>
  <c r="B5" i="2"/>
  <c r="B27" i="1"/>
  <c r="B28" i="1" s="1"/>
  <c r="B18" i="1"/>
  <c r="B17" i="1"/>
  <c r="D7" i="2" l="1"/>
  <c r="E7" i="2" s="1"/>
  <c r="F7" i="2" s="1"/>
  <c r="G7" i="2" s="1"/>
  <c r="D6" i="2"/>
  <c r="E6" i="2" s="1"/>
  <c r="F6" i="2" s="1"/>
  <c r="G6" i="2" s="1"/>
  <c r="H5" i="2"/>
  <c r="D5" i="2"/>
  <c r="E5" i="2" s="1"/>
  <c r="F5" i="2" s="1"/>
  <c r="G5" i="2" s="1"/>
  <c r="D12" i="2"/>
  <c r="E12" i="2" s="1"/>
  <c r="F12" i="2" s="1"/>
  <c r="G12" i="2" s="1"/>
  <c r="C12" i="2"/>
  <c r="D11" i="2"/>
  <c r="E11" i="2" s="1"/>
  <c r="F11" i="2" s="1"/>
  <c r="G11" i="2" s="1"/>
  <c r="C11" i="2"/>
  <c r="C10" i="2"/>
  <c r="D9" i="2"/>
  <c r="E9" i="2" s="1"/>
  <c r="F9" i="2" s="1"/>
  <c r="G9" i="2" s="1"/>
  <c r="D10" i="2"/>
  <c r="E10" i="2" s="1"/>
  <c r="F10" i="2" s="1"/>
  <c r="G10" i="2" s="1"/>
  <c r="C5" i="2"/>
  <c r="C9" i="2"/>
  <c r="D8" i="2"/>
  <c r="E8" i="2" s="1"/>
  <c r="F8" i="2" s="1"/>
  <c r="C8" i="2"/>
  <c r="C7" i="2"/>
  <c r="C6" i="2"/>
  <c r="B20" i="1"/>
  <c r="B23" i="1" s="1"/>
  <c r="B24" i="1" s="1"/>
  <c r="B19" i="1"/>
  <c r="G8" i="2" l="1"/>
  <c r="I8" i="2"/>
  <c r="I9" i="2"/>
  <c r="I10" i="2"/>
  <c r="I11" i="2"/>
  <c r="I12" i="2"/>
  <c r="I5" i="2"/>
  <c r="I6" i="2"/>
  <c r="I7" i="2"/>
  <c r="B25" i="1"/>
  <c r="A31" i="1"/>
  <c r="B26" i="1"/>
  <c r="B21" i="1"/>
  <c r="B22" i="1"/>
</calcChain>
</file>

<file path=xl/sharedStrings.xml><?xml version="1.0" encoding="utf-8"?>
<sst xmlns="http://schemas.openxmlformats.org/spreadsheetml/2006/main" count="120" uniqueCount="120">
  <si>
    <t>Cellular data budget calculator</t>
  </si>
  <si>
    <t>Edit the yellow cells. Everything else recalculates.</t>
  </si>
  <si>
    <t>INPUTS</t>
  </si>
  <si>
    <t>Bird detections per day</t>
  </si>
  <si>
    <t>Individual detections sent one per record.</t>
  </si>
  <si>
    <t>Bat records per day</t>
  </si>
  <si>
    <t>Aggregated: one record per recording, not per ping.</t>
  </si>
  <si>
    <t>Bytes per bird record</t>
  </si>
  <si>
    <t>species u16 + confidence u8 + timestamp u32.</t>
  </si>
  <si>
    <t>Bytes per bat record</t>
  </si>
  <si>
    <t>As bird, plus a 1-byte count.</t>
  </si>
  <si>
    <t>Session overhead (bytes)</t>
  </si>
  <si>
    <t>DNS + TCP + MQTT connect + headers + teardown. See Reference.</t>
  </si>
  <si>
    <t>Sessions per day</t>
  </si>
  <si>
    <t>24 = hourly. 1 = a single daily push.</t>
  </si>
  <si>
    <t>Billing rounding unit (bytes)</t>
  </si>
  <si>
    <t>1NCE meters in 1 kB. Set 0 for no rounding.</t>
  </si>
  <si>
    <t>Modem-on per session (seconds)</t>
  </si>
  <si>
    <t>Registration + publish + teardown. Rough.</t>
  </si>
  <si>
    <t>Deployment length (years)</t>
  </si>
  <si>
    <t>1NCE SIM lifetime.</t>
  </si>
  <si>
    <t>SIM allowance (MB)</t>
  </si>
  <si>
    <t>1NCE: 500 MB per SIM, does not pool across SIMs.</t>
  </si>
  <si>
    <t>RESULTS</t>
  </si>
  <si>
    <t>Payload per day (bytes)</t>
  </si>
  <si>
    <t>Session overhead per day (bytes)</t>
  </si>
  <si>
    <t>Actual data per day (bytes)</t>
  </si>
  <si>
    <t>Billed data per day (bytes)</t>
  </si>
  <si>
    <t>Bytes per session (actual)</t>
  </si>
  <si>
    <t>Overhead share of traffic</t>
  </si>
  <si>
    <t>Data per year (MB)</t>
  </si>
  <si>
    <t>Data over deployment (MB)</t>
  </si>
  <si>
    <t>Share of SIM allowance</t>
  </si>
  <si>
    <t>Headroom remaining (MB)</t>
  </si>
  <si>
    <t>Modem-on per day (minutes)</t>
  </si>
  <si>
    <t>Modem-on per year (hours)</t>
  </si>
  <si>
    <t>Verdict</t>
  </si>
  <si>
    <t>Worked example (defaults above): 250 bird + 50 bat records/day, hourly sends.</t>
  </si>
  <si>
    <t>Payload is 2,150 B/day; overhead is 25,200 B/day. Cadence drives the bill, not payload.</t>
  </si>
  <si>
    <t>Batching cadence comparison</t>
  </si>
  <si>
    <t>Driven by the payload and overhead inputs on the Calculator sheet. Change those and this updates.</t>
  </si>
  <si>
    <t>Cadence</t>
  </si>
  <si>
    <t>Sessions/day</t>
  </si>
  <si>
    <t>Actual B/day</t>
  </si>
  <si>
    <t>Billed B/day</t>
  </si>
  <si>
    <t>MB/year</t>
  </si>
  <si>
    <t>MB over deployment</t>
  </si>
  <si>
    <t>% of allowance</t>
  </si>
  <si>
    <t>Modem-on min/day</t>
  </si>
  <si>
    <t>Saving vs hourly (MB)</t>
  </si>
  <si>
    <t>Every detection</t>
  </si>
  <si>
    <t>Every 15 minutes</t>
  </si>
  <si>
    <t>Every 30 minutes</t>
  </si>
  <si>
    <t>Hourly</t>
  </si>
  <si>
    <t>Every 4 hours</t>
  </si>
  <si>
    <t>Twice daily (08:00, 20:00)</t>
  </si>
  <si>
    <t>Once daily (08:00)</t>
  </si>
  <si>
    <t>Daily push + hourly daytime</t>
  </si>
  <si>
    <t>Notes</t>
  </si>
  <si>
    <t>'Every detection' opens one session per record - it is here to show why that option is off the table, not as a candidate.</t>
  </si>
  <si>
    <t>'Daily push + hourly daytime' = one 08:00 push carrying the night's bat records, then hourly sends through 12 daylight hours.</t>
  </si>
  <si>
    <t>Payload is identical in every row. The only thing changing is how many times the modem registers on the network.</t>
  </si>
  <si>
    <t>Saving vs hourly is per device. Multiply by fleet size for the total, but note each SIM has its own allowance.</t>
  </si>
  <si>
    <t>Where the numbers come from</t>
  </si>
  <si>
    <t>Estimates from protocol sizes, not measured traffic. Validate with a test SIM before committing a fleet.</t>
  </si>
  <si>
    <t>Session overhead breakdown</t>
  </si>
  <si>
    <t>DNS lookup</t>
  </si>
  <si>
    <t>Removable: pin the broker IP in config.</t>
  </si>
  <si>
    <t>TCP handshake</t>
  </si>
  <si>
    <t>MQTT CONNECT + CONNACK</t>
  </si>
  <si>
    <t>Includes username/password.</t>
  </si>
  <si>
    <t>PUBLISH headers + PUBACK</t>
  </si>
  <si>
    <t>QoS 1.</t>
  </si>
  <si>
    <t>DISCONNECT + teardown</t>
  </si>
  <si>
    <t>Total</t>
  </si>
  <si>
    <t>Matches the Calculator default. TLS would add ~2-4 kB per session.</t>
  </si>
  <si>
    <t>Payload per bird detection, by encoding</t>
  </si>
  <si>
    <t>acoupi default JSON</t>
  </si>
  <si>
    <t>Full model output: model name, file path, bounding box, nested tags.</t>
  </si>
  <si>
    <t>Compact JSON</t>
  </si>
  <si>
    <t>{"s":2441,"c":0.82,"t":1752710400}</t>
  </si>
  <si>
    <t>Packed binary</t>
  </si>
  <si>
    <t>Current spec: species u16 + confidence u8 + timestamp u32.</t>
  </si>
  <si>
    <t>Bit-stacked</t>
  </si>
  <si>
    <t>See below.</t>
  </si>
  <si>
    <t>Bit stacking</t>
  </si>
  <si>
    <t>Field</t>
  </si>
  <si>
    <t>Now (bits)</t>
  </si>
  <si>
    <t>Could be (bits)</t>
  </si>
  <si>
    <t>Why</t>
  </si>
  <si>
    <t>Species</t>
  </si>
  <si>
    <t>BirdNET 2.4 has ~6,500 classes. A UK-restricted list (~600) needs 10.</t>
  </si>
  <si>
    <t>Confidence</t>
  </si>
  <si>
    <t>0.05 steps across 0.30-1.00 is 14 values. 7 bits for 0.01 resolution.</t>
  </si>
  <si>
    <t>Timestamp</t>
  </si>
  <si>
    <t>One absolute base per batch, then per-record offset in seconds (an hour fits 12 bits).</t>
  </si>
  <si>
    <t>Bat count</t>
  </si>
  <si>
    <t>Keep. 255 pings per recording is a realistic ceiling.</t>
  </si>
  <si>
    <t>Bird record total</t>
  </si>
  <si>
    <t>29 bits -&gt; 4 bytes padded, plus one 4-byte base timestamp per batch. ~43% off.</t>
  </si>
  <si>
    <t>Why bat detections are always aggregated</t>
  </si>
  <si>
    <t>Individual detections</t>
  </si>
  <si>
    <t>A dense night: ~3,600/hour over 12 hours = 43,200 records.</t>
  </si>
  <si>
    <t>Count per recording</t>
  </si>
  <si>
    <t>50 recordings per night.</t>
  </si>
  <si>
    <t>Count per species per hour</t>
  </si>
  <si>
    <t>3 species over 12 hours.</t>
  </si>
  <si>
    <t>Individual bat detections would use ~126 MB/year on payload alone - a quarter of the</t>
  </si>
  <si>
    <t>lifetime allowance before any overhead. Each AT-interface publish also takes 1-2 s, so</t>
  </si>
  <si>
    <t>43,200 individual publishes cannot fit in the night they were collected in.</t>
  </si>
  <si>
    <t>Tariff</t>
  </si>
  <si>
    <t>1NCE</t>
  </si>
  <si>
    <t>EUR 12 per SIM, 10 years, 500 MB + 250 SMS, metered in 1 kB units.</t>
  </si>
  <si>
    <t>Everything inside the GTP tunnel counts: IP, TCP, MQTT overhead and payload.</t>
  </si>
  <si>
    <t>Allowances do not pool - 20 devices means 20 separate 500 MB SIMs (EUR 240).</t>
  </si>
  <si>
    <t>KeySIM</t>
  </si>
  <si>
    <t>~GBP 3/SIM/month rental plus GBP 0.003/MB. ~GBP 7,200 for 20 SIMs over 10 years.</t>
  </si>
  <si>
    <t>Open risk</t>
  </si>
  <si>
    <t>Coverage, not cost. 1NCE roams on partner networks; the site is rural.</t>
  </si>
  <si>
    <t>Test one SIM on site, and confirm the roaming agreement covers LTE Cat-1 (A7670E).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</si>
</sst>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666666"/>
      <name val="Arial"/>
    </font>
    <font>
      <b/>
      <sz val="11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  <font>
      <b/>
      <sz val="10"/>
      <color rgb="FFFFFFFF"/>
      <name val="Arial"/>
    </font>
    <font>
      <sz val="10"/>
      <color rgb="FF008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40404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5" fillId="2" borderId="1" xfId="0" applyNumberFormat="1" applyFont="1" applyFill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5" fontId="6" fillId="3" borderId="1" xfId="0" applyNumberFormat="1" applyFont="1" applyFill="1" applyBorder="1"/>
    <xf numFmtId="164" fontId="6" fillId="3" borderId="1" xfId="0" applyNumberFormat="1" applyFont="1" applyFill="1" applyBorder="1"/>
    <xf numFmtId="0" fontId="6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/>
    <xf numFmtId="3" fontId="8" fillId="5" borderId="1" xfId="0" applyNumberFormat="1" applyFont="1" applyFill="1" applyBorder="1"/>
    <xf numFmtId="3" fontId="4" fillId="5" borderId="1" xfId="0" applyNumberFormat="1" applyFont="1" applyFill="1" applyBorder="1"/>
    <xf numFmtId="165" fontId="4" fillId="5" borderId="1" xfId="0" applyNumberFormat="1" applyFont="1" applyFill="1" applyBorder="1"/>
    <xf numFmtId="164" fontId="4" fillId="5" borderId="1" xfId="0" applyNumberFormat="1" applyFont="1" applyFill="1" applyBorder="1"/>
    <xf numFmtId="0" fontId="4" fillId="0" borderId="1" xfId="0" applyFont="1" applyBorder="1"/>
    <xf numFmtId="0" fontId="6" fillId="3" borderId="1" xfId="0" applyFont="1" applyFill="1" applyBorder="1"/>
    <xf numFmtId="3" fontId="6" fillId="3" borderId="1" xfId="0" applyNumberFormat="1" applyFont="1" applyFill="1" applyBorder="1"/>
    <xf numFmtId="3" fontId="3" fillId="0" borderId="1" xfId="0" applyNumberFormat="1" applyFont="1" applyBorder="1"/>
    <xf numFmtId="0" fontId="7" fillId="4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showGridLines="0" tabSelected="1" workbookViewId="0"/>
  </sheetViews>
  <sheetFormatPr defaultRowHeight="15" x14ac:dyDescent="0.25"/>
  <cols>
    <col min="1" max="1" width="34" customWidth="1"/>
    <col min="2" max="2" width="16" customWidth="1"/>
    <col min="3" max="3" width="62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</row>
    <row r="5" spans="1:3" x14ac:dyDescent="0.25">
      <c r="A5" s="4" t="s">
        <v>3</v>
      </c>
      <c r="B5" s="5">
        <v>250</v>
      </c>
      <c r="C5" s="2" t="s">
        <v>4</v>
      </c>
    </row>
    <row r="6" spans="1:3" x14ac:dyDescent="0.25">
      <c r="A6" s="4" t="s">
        <v>5</v>
      </c>
      <c r="B6" s="5">
        <v>50</v>
      </c>
      <c r="C6" s="2" t="s">
        <v>6</v>
      </c>
    </row>
    <row r="7" spans="1:3" x14ac:dyDescent="0.25">
      <c r="A7" s="4" t="s">
        <v>7</v>
      </c>
      <c r="B7" s="5">
        <v>7</v>
      </c>
      <c r="C7" s="2" t="s">
        <v>8</v>
      </c>
    </row>
    <row r="8" spans="1:3" x14ac:dyDescent="0.25">
      <c r="A8" s="4" t="s">
        <v>9</v>
      </c>
      <c r="B8" s="5">
        <v>8</v>
      </c>
      <c r="C8" s="2" t="s">
        <v>10</v>
      </c>
    </row>
    <row r="9" spans="1:3" x14ac:dyDescent="0.25">
      <c r="A9" s="4" t="s">
        <v>11</v>
      </c>
      <c r="B9" s="5">
        <v>1050</v>
      </c>
      <c r="C9" s="2" t="s">
        <v>12</v>
      </c>
    </row>
    <row r="10" spans="1:3" x14ac:dyDescent="0.25">
      <c r="A10" s="4" t="s">
        <v>13</v>
      </c>
      <c r="B10" s="5">
        <v>24</v>
      </c>
      <c r="C10" s="2" t="s">
        <v>14</v>
      </c>
    </row>
    <row r="11" spans="1:3" x14ac:dyDescent="0.25">
      <c r="A11" s="4" t="s">
        <v>15</v>
      </c>
      <c r="B11" s="5">
        <v>1024</v>
      </c>
      <c r="C11" s="2" t="s">
        <v>16</v>
      </c>
    </row>
    <row r="12" spans="1:3" x14ac:dyDescent="0.25">
      <c r="A12" s="4" t="s">
        <v>17</v>
      </c>
      <c r="B12" s="5">
        <v>45</v>
      </c>
      <c r="C12" s="2" t="s">
        <v>18</v>
      </c>
    </row>
    <row r="13" spans="1:3" x14ac:dyDescent="0.25">
      <c r="A13" s="4" t="s">
        <v>19</v>
      </c>
      <c r="B13" s="5">
        <v>10</v>
      </c>
      <c r="C13" s="2" t="s">
        <v>20</v>
      </c>
    </row>
    <row r="14" spans="1:3" x14ac:dyDescent="0.25">
      <c r="A14" s="4" t="s">
        <v>21</v>
      </c>
      <c r="B14" s="5">
        <v>500</v>
      </c>
      <c r="C14" s="2" t="s">
        <v>22</v>
      </c>
    </row>
    <row r="16" spans="1:3" x14ac:dyDescent="0.25">
      <c r="A16" s="3" t="s">
        <v>23</v>
      </c>
    </row>
    <row r="17" spans="1:2" x14ac:dyDescent="0.25">
      <c r="A17" s="4" t="s">
        <v>24</v>
      </c>
      <c r="B17" s="6">
        <f>B5*B7+B6*B8</f>
        <v>2150</v>
      </c>
    </row>
    <row r="18" spans="1:2" x14ac:dyDescent="0.25">
      <c r="A18" s="4" t="s">
        <v>25</v>
      </c>
      <c r="B18" s="6">
        <f>B10*B9</f>
        <v>25200</v>
      </c>
    </row>
    <row r="19" spans="1:2" x14ac:dyDescent="0.25">
      <c r="A19" s="4" t="s">
        <v>26</v>
      </c>
      <c r="B19" s="6">
        <f>B17+B18</f>
        <v>27350</v>
      </c>
    </row>
    <row r="20" spans="1:2" x14ac:dyDescent="0.25">
      <c r="A20" s="4" t="s">
        <v>27</v>
      </c>
      <c r="B20" s="6">
        <f>IF(B10=0,0,IF(B11=0,B19,B10*CEILING(B9+B17/B10,B11)))</f>
        <v>49152</v>
      </c>
    </row>
    <row r="21" spans="1:2" x14ac:dyDescent="0.25">
      <c r="A21" s="4" t="s">
        <v>28</v>
      </c>
      <c r="B21" s="6">
        <f>IF(B10=0,0,B19/B10)</f>
        <v>1139.5833333333333</v>
      </c>
    </row>
    <row r="22" spans="1:2" x14ac:dyDescent="0.25">
      <c r="A22" s="4" t="s">
        <v>29</v>
      </c>
      <c r="B22" s="7">
        <f>IF(B19=0,0,B18/B19)</f>
        <v>0.92138939670932363</v>
      </c>
    </row>
    <row r="23" spans="1:2" x14ac:dyDescent="0.25">
      <c r="A23" s="4" t="s">
        <v>30</v>
      </c>
      <c r="B23" s="8">
        <f>B20*365/1048576</f>
        <v>17.109375</v>
      </c>
    </row>
    <row r="24" spans="1:2" x14ac:dyDescent="0.25">
      <c r="A24" s="4" t="s">
        <v>31</v>
      </c>
      <c r="B24" s="9">
        <f>B23*B13</f>
        <v>171.09375</v>
      </c>
    </row>
    <row r="25" spans="1:2" x14ac:dyDescent="0.25">
      <c r="A25" s="4" t="s">
        <v>32</v>
      </c>
      <c r="B25" s="10">
        <f>IF(B14=0,0,B24/B14)</f>
        <v>0.34218749999999998</v>
      </c>
    </row>
    <row r="26" spans="1:2" x14ac:dyDescent="0.25">
      <c r="A26" s="4" t="s">
        <v>33</v>
      </c>
      <c r="B26" s="8">
        <f>B14-B24</f>
        <v>328.90625</v>
      </c>
    </row>
    <row r="27" spans="1:2" x14ac:dyDescent="0.25">
      <c r="A27" s="4" t="s">
        <v>34</v>
      </c>
      <c r="B27" s="8">
        <f>B10*B12/60</f>
        <v>18</v>
      </c>
    </row>
    <row r="28" spans="1:2" x14ac:dyDescent="0.25">
      <c r="A28" s="4" t="s">
        <v>35</v>
      </c>
      <c r="B28" s="8">
        <f>B27*365/60</f>
        <v>109.5</v>
      </c>
    </row>
    <row r="30" spans="1:2" x14ac:dyDescent="0.25">
      <c r="A30" s="3" t="s">
        <v>36</v>
      </c>
    </row>
    <row r="31" spans="1:2" x14ac:dyDescent="0.25">
      <c r="A31" s="11" t="str">
        <f>IF(B24&gt;B14,"Over budget - reduce sessions per day.",IF(B24&gt;B14*0.6,"Tight - workable but little margin.","Comfortable."))</f>
        <v>Comfortable.</v>
      </c>
    </row>
    <row r="33" spans="1:1" x14ac:dyDescent="0.25">
      <c r="A33" s="2" t="s">
        <v>37</v>
      </c>
    </row>
    <row r="34" spans="1:1" x14ac:dyDescent="0.25">
      <c r="A34" s="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showGridLines="0" workbookViewId="0"/>
  </sheetViews>
  <sheetFormatPr defaultRowHeight="15" x14ac:dyDescent="0.25"/>
  <cols>
    <col min="1" max="1" width="30" customWidth="1"/>
    <col min="2" max="2" width="13" customWidth="1"/>
    <col min="3" max="4" width="14" customWidth="1"/>
    <col min="5" max="5" width="12" customWidth="1"/>
    <col min="6" max="6" width="18" customWidth="1"/>
    <col min="7" max="7" width="14" customWidth="1"/>
    <col min="8" max="8" width="16" customWidth="1"/>
    <col min="9" max="9" width="19" customWidth="1"/>
  </cols>
  <sheetData>
    <row r="1" spans="1:9" ht="18" x14ac:dyDescent="0.25">
      <c r="A1" s="1" t="s">
        <v>39</v>
      </c>
    </row>
    <row r="2" spans="1:9" x14ac:dyDescent="0.25">
      <c r="A2" s="2" t="s">
        <v>40</v>
      </c>
    </row>
    <row r="4" spans="1:9" ht="30" customHeight="1" x14ac:dyDescent="0.25">
      <c r="A4" s="12" t="s">
        <v>41</v>
      </c>
      <c r="B4" s="12" t="s">
        <v>42</v>
      </c>
      <c r="C4" s="12" t="s">
        <v>43</v>
      </c>
      <c r="D4" s="12" t="s">
        <v>44</v>
      </c>
      <c r="E4" s="12" t="s">
        <v>45</v>
      </c>
      <c r="F4" s="12" t="s">
        <v>46</v>
      </c>
      <c r="G4" s="12" t="s">
        <v>47</v>
      </c>
      <c r="H4" s="12" t="s">
        <v>48</v>
      </c>
      <c r="I4" s="12" t="s">
        <v>49</v>
      </c>
    </row>
    <row r="5" spans="1:9" x14ac:dyDescent="0.25">
      <c r="A5" s="13" t="s">
        <v>50</v>
      </c>
      <c r="B5" s="14">
        <f>Calculator!$B$5+Calculator!$B$6</f>
        <v>300</v>
      </c>
      <c r="C5" s="15">
        <f>Calculator!$B$17+B5*Calculator!$B$9</f>
        <v>317150</v>
      </c>
      <c r="D5" s="15">
        <f>IF(B5=0,0,IF(Calculator!$B$11=0,C5,B5*CEILING(Calculator!$B$9+Calculator!$B$17/B5,Calculator!$B$11)))</f>
        <v>614400</v>
      </c>
      <c r="E5" s="16">
        <f t="shared" ref="E5:E12" si="0">D5*365/1048576</f>
        <v>213.8671875</v>
      </c>
      <c r="F5" s="16">
        <f>E5*Calculator!$B$13</f>
        <v>2138.671875</v>
      </c>
      <c r="G5" s="17">
        <f>IF(Calculator!$B$14=0,0,F5/Calculator!$B$14)</f>
        <v>4.27734375</v>
      </c>
      <c r="H5" s="16">
        <f>B5*Calculator!$B$12/60</f>
        <v>225</v>
      </c>
      <c r="I5" s="16">
        <f t="shared" ref="I5:I12" si="1">$F$8-F5</f>
        <v>-1967.578125</v>
      </c>
    </row>
    <row r="6" spans="1:9" x14ac:dyDescent="0.25">
      <c r="A6" s="18" t="s">
        <v>51</v>
      </c>
      <c r="B6" s="6">
        <v>96</v>
      </c>
      <c r="C6" s="6">
        <f>Calculator!$B$17+B6*Calculator!$B$9</f>
        <v>102950</v>
      </c>
      <c r="D6" s="6">
        <f>IF(B6=0,0,IF(Calculator!$B$11=0,C6,B6*CEILING(Calculator!$B$9+Calculator!$B$17/B6,Calculator!$B$11)))</f>
        <v>196608</v>
      </c>
      <c r="E6" s="8">
        <f t="shared" si="0"/>
        <v>68.4375</v>
      </c>
      <c r="F6" s="8">
        <f>E6*Calculator!$B$13</f>
        <v>684.375</v>
      </c>
      <c r="G6" s="7">
        <f>IF(Calculator!$B$14=0,0,F6/Calculator!$B$14)</f>
        <v>1.3687499999999999</v>
      </c>
      <c r="H6" s="8">
        <f>B6*Calculator!$B$12/60</f>
        <v>72</v>
      </c>
      <c r="I6" s="8">
        <f t="shared" si="1"/>
        <v>-513.28125</v>
      </c>
    </row>
    <row r="7" spans="1:9" x14ac:dyDescent="0.25">
      <c r="A7" s="13" t="s">
        <v>52</v>
      </c>
      <c r="B7" s="15">
        <v>48</v>
      </c>
      <c r="C7" s="15">
        <f>Calculator!$B$17+B7*Calculator!$B$9</f>
        <v>52550</v>
      </c>
      <c r="D7" s="15">
        <f>IF(B7=0,0,IF(Calculator!$B$11=0,C7,B7*CEILING(Calculator!$B$9+Calculator!$B$17/B7,Calculator!$B$11)))</f>
        <v>98304</v>
      </c>
      <c r="E7" s="16">
        <f t="shared" si="0"/>
        <v>34.21875</v>
      </c>
      <c r="F7" s="16">
        <f>E7*Calculator!$B$13</f>
        <v>342.1875</v>
      </c>
      <c r="G7" s="17">
        <f>IF(Calculator!$B$14=0,0,F7/Calculator!$B$14)</f>
        <v>0.68437499999999996</v>
      </c>
      <c r="H7" s="16">
        <f>B7*Calculator!$B$12/60</f>
        <v>36</v>
      </c>
      <c r="I7" s="16">
        <f t="shared" si="1"/>
        <v>-171.09375</v>
      </c>
    </row>
    <row r="8" spans="1:9" x14ac:dyDescent="0.25">
      <c r="A8" s="19" t="s">
        <v>53</v>
      </c>
      <c r="B8" s="20">
        <v>24</v>
      </c>
      <c r="C8" s="20">
        <f>Calculator!$B$17+B8*Calculator!$B$9</f>
        <v>27350</v>
      </c>
      <c r="D8" s="20">
        <f>IF(B8=0,0,IF(Calculator!$B$11=0,C8,B8*CEILING(Calculator!$B$9+Calculator!$B$17/B8,Calculator!$B$11)))</f>
        <v>49152</v>
      </c>
      <c r="E8" s="9">
        <f t="shared" si="0"/>
        <v>17.109375</v>
      </c>
      <c r="F8" s="9">
        <f>E8*Calculator!$B$13</f>
        <v>171.09375</v>
      </c>
      <c r="G8" s="10">
        <f>IF(Calculator!$B$14=0,0,F8/Calculator!$B$14)</f>
        <v>0.34218749999999998</v>
      </c>
      <c r="H8" s="9">
        <f>B8*Calculator!$B$12/60</f>
        <v>18</v>
      </c>
      <c r="I8" s="9">
        <f t="shared" si="1"/>
        <v>0</v>
      </c>
    </row>
    <row r="9" spans="1:9" x14ac:dyDescent="0.25">
      <c r="A9" s="13" t="s">
        <v>54</v>
      </c>
      <c r="B9" s="15">
        <v>6</v>
      </c>
      <c r="C9" s="15">
        <f>Calculator!$B$17+B9*Calculator!$B$9</f>
        <v>8450</v>
      </c>
      <c r="D9" s="15">
        <f>IF(B9=0,0,IF(Calculator!$B$11=0,C9,B9*CEILING(Calculator!$B$9+Calculator!$B$17/B9,Calculator!$B$11)))</f>
        <v>12288</v>
      </c>
      <c r="E9" s="16">
        <f t="shared" si="0"/>
        <v>4.27734375</v>
      </c>
      <c r="F9" s="16">
        <f>E9*Calculator!$B$13</f>
        <v>42.7734375</v>
      </c>
      <c r="G9" s="17">
        <f>IF(Calculator!$B$14=0,0,F9/Calculator!$B$14)</f>
        <v>8.5546874999999994E-2</v>
      </c>
      <c r="H9" s="16">
        <f>B9*Calculator!$B$12/60</f>
        <v>4.5</v>
      </c>
      <c r="I9" s="16">
        <f t="shared" si="1"/>
        <v>128.3203125</v>
      </c>
    </row>
    <row r="10" spans="1:9" x14ac:dyDescent="0.25">
      <c r="A10" s="18" t="s">
        <v>55</v>
      </c>
      <c r="B10" s="6">
        <v>2</v>
      </c>
      <c r="C10" s="6">
        <f>Calculator!$B$17+B10*Calculator!$B$9</f>
        <v>4250</v>
      </c>
      <c r="D10" s="6">
        <f>IF(B10=0,0,IF(Calculator!$B$11=0,C10,B10*CEILING(Calculator!$B$9+Calculator!$B$17/B10,Calculator!$B$11)))</f>
        <v>6144</v>
      </c>
      <c r="E10" s="8">
        <f t="shared" si="0"/>
        <v>2.138671875</v>
      </c>
      <c r="F10" s="8">
        <f>E10*Calculator!$B$13</f>
        <v>21.38671875</v>
      </c>
      <c r="G10" s="7">
        <f>IF(Calculator!$B$14=0,0,F10/Calculator!$B$14)</f>
        <v>4.2773437499999997E-2</v>
      </c>
      <c r="H10" s="8">
        <f>B10*Calculator!$B$12/60</f>
        <v>1.5</v>
      </c>
      <c r="I10" s="8">
        <f t="shared" si="1"/>
        <v>149.70703125</v>
      </c>
    </row>
    <row r="11" spans="1:9" x14ac:dyDescent="0.25">
      <c r="A11" s="13" t="s">
        <v>56</v>
      </c>
      <c r="B11" s="15">
        <v>1</v>
      </c>
      <c r="C11" s="15">
        <f>Calculator!$B$17+B11*Calculator!$B$9</f>
        <v>3200</v>
      </c>
      <c r="D11" s="15">
        <f>IF(B11=0,0,IF(Calculator!$B$11=0,C11,B11*CEILING(Calculator!$B$9+Calculator!$B$17/B11,Calculator!$B$11)))</f>
        <v>4096</v>
      </c>
      <c r="E11" s="16">
        <f t="shared" si="0"/>
        <v>1.42578125</v>
      </c>
      <c r="F11" s="16">
        <f>E11*Calculator!$B$13</f>
        <v>14.2578125</v>
      </c>
      <c r="G11" s="17">
        <f>IF(Calculator!$B$14=0,0,F11/Calculator!$B$14)</f>
        <v>2.8515624999999999E-2</v>
      </c>
      <c r="H11" s="16">
        <f>B11*Calculator!$B$12/60</f>
        <v>0.75</v>
      </c>
      <c r="I11" s="16">
        <f t="shared" si="1"/>
        <v>156.8359375</v>
      </c>
    </row>
    <row r="12" spans="1:9" x14ac:dyDescent="0.25">
      <c r="A12" s="18" t="s">
        <v>57</v>
      </c>
      <c r="B12" s="6">
        <v>13</v>
      </c>
      <c r="C12" s="6">
        <f>Calculator!$B$17+B12*Calculator!$B$9</f>
        <v>15800</v>
      </c>
      <c r="D12" s="6">
        <f>IF(B12=0,0,IF(Calculator!$B$11=0,C12,B12*CEILING(Calculator!$B$9+Calculator!$B$17/B12,Calculator!$B$11)))</f>
        <v>26624</v>
      </c>
      <c r="E12" s="8">
        <f t="shared" si="0"/>
        <v>9.267578125</v>
      </c>
      <c r="F12" s="8">
        <f>E12*Calculator!$B$13</f>
        <v>92.67578125</v>
      </c>
      <c r="G12" s="7">
        <f>IF(Calculator!$B$14=0,0,F12/Calculator!$B$14)</f>
        <v>0.18535156250000001</v>
      </c>
      <c r="H12" s="8">
        <f>B12*Calculator!$B$12/60</f>
        <v>9.75</v>
      </c>
      <c r="I12" s="8">
        <f t="shared" si="1"/>
        <v>78.41796875</v>
      </c>
    </row>
    <row r="15" spans="1:9" x14ac:dyDescent="0.25">
      <c r="A15" s="3" t="s">
        <v>58</v>
      </c>
    </row>
    <row r="16" spans="1:9" x14ac:dyDescent="0.25">
      <c r="A16" s="2" t="s">
        <v>59</v>
      </c>
    </row>
    <row r="17" spans="1:1" x14ac:dyDescent="0.25">
      <c r="A17" s="2" t="s">
        <v>60</v>
      </c>
    </row>
    <row r="18" spans="1:1" x14ac:dyDescent="0.25">
      <c r="A18" s="2" t="s">
        <v>61</v>
      </c>
    </row>
    <row r="19" spans="1:1" x14ac:dyDescent="0.25">
      <c r="A19" s="2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showGridLines="0" workbookViewId="0"/>
  </sheetViews>
  <sheetFormatPr defaultRowHeight="15" x14ac:dyDescent="0.25"/>
  <cols>
    <col min="1" max="1" width="28" customWidth="1"/>
    <col min="2" max="2" width="14" customWidth="1"/>
    <col min="3" max="4" width="74" customWidth="1"/>
  </cols>
  <sheetData>
    <row r="1" spans="1:3" ht="18" x14ac:dyDescent="0.25">
      <c r="A1" s="1" t="s">
        <v>63</v>
      </c>
    </row>
    <row r="2" spans="1:3" x14ac:dyDescent="0.25">
      <c r="A2" s="2" t="s">
        <v>64</v>
      </c>
    </row>
    <row r="4" spans="1:3" x14ac:dyDescent="0.25">
      <c r="A4" s="3" t="s">
        <v>65</v>
      </c>
    </row>
    <row r="5" spans="1:3" x14ac:dyDescent="0.25">
      <c r="A5" s="4" t="s">
        <v>66</v>
      </c>
      <c r="B5" s="6">
        <v>350</v>
      </c>
      <c r="C5" s="2" t="s">
        <v>67</v>
      </c>
    </row>
    <row r="6" spans="1:3" x14ac:dyDescent="0.25">
      <c r="A6" s="4" t="s">
        <v>68</v>
      </c>
      <c r="B6" s="6">
        <v>180</v>
      </c>
      <c r="C6" s="2"/>
    </row>
    <row r="7" spans="1:3" x14ac:dyDescent="0.25">
      <c r="A7" s="4" t="s">
        <v>69</v>
      </c>
      <c r="B7" s="6">
        <v>190</v>
      </c>
      <c r="C7" s="2" t="s">
        <v>70</v>
      </c>
    </row>
    <row r="8" spans="1:3" x14ac:dyDescent="0.25">
      <c r="A8" s="4" t="s">
        <v>71</v>
      </c>
      <c r="B8" s="6">
        <v>130</v>
      </c>
      <c r="C8" s="2" t="s">
        <v>72</v>
      </c>
    </row>
    <row r="9" spans="1:3" x14ac:dyDescent="0.25">
      <c r="A9" s="4" t="s">
        <v>73</v>
      </c>
      <c r="B9" s="6">
        <v>200</v>
      </c>
      <c r="C9" s="2"/>
    </row>
    <row r="10" spans="1:3" x14ac:dyDescent="0.25">
      <c r="A10" s="3" t="s">
        <v>74</v>
      </c>
      <c r="B10" s="21">
        <f>SUM(B5:B9)</f>
        <v>1050</v>
      </c>
      <c r="C10" s="2" t="s">
        <v>75</v>
      </c>
    </row>
    <row r="12" spans="1:3" x14ac:dyDescent="0.25">
      <c r="A12" s="3" t="s">
        <v>76</v>
      </c>
    </row>
    <row r="13" spans="1:3" x14ac:dyDescent="0.25">
      <c r="A13" s="4" t="s">
        <v>77</v>
      </c>
      <c r="B13" s="6">
        <v>250</v>
      </c>
      <c r="C13" s="2" t="s">
        <v>78</v>
      </c>
    </row>
    <row r="14" spans="1:3" x14ac:dyDescent="0.25">
      <c r="A14" s="4" t="s">
        <v>79</v>
      </c>
      <c r="B14" s="6">
        <v>35</v>
      </c>
      <c r="C14" s="2" t="s">
        <v>80</v>
      </c>
    </row>
    <row r="15" spans="1:3" x14ac:dyDescent="0.25">
      <c r="A15" s="4" t="s">
        <v>81</v>
      </c>
      <c r="B15" s="6">
        <v>7</v>
      </c>
      <c r="C15" s="2" t="s">
        <v>82</v>
      </c>
    </row>
    <row r="16" spans="1:3" x14ac:dyDescent="0.25">
      <c r="A16" s="4" t="s">
        <v>83</v>
      </c>
      <c r="B16" s="6">
        <v>4</v>
      </c>
      <c r="C16" s="2" t="s">
        <v>84</v>
      </c>
    </row>
    <row r="18" spans="1:4" x14ac:dyDescent="0.25">
      <c r="A18" s="3" t="s">
        <v>85</v>
      </c>
    </row>
    <row r="19" spans="1:4" x14ac:dyDescent="0.25">
      <c r="A19" s="22" t="s">
        <v>86</v>
      </c>
      <c r="B19" s="22" t="s">
        <v>87</v>
      </c>
      <c r="C19" s="22" t="s">
        <v>88</v>
      </c>
      <c r="D19" s="22" t="s">
        <v>89</v>
      </c>
    </row>
    <row r="20" spans="1:4" x14ac:dyDescent="0.25">
      <c r="A20" s="18" t="s">
        <v>90</v>
      </c>
      <c r="B20" s="18">
        <v>16</v>
      </c>
      <c r="C20" s="18">
        <v>13</v>
      </c>
      <c r="D20" s="23" t="s">
        <v>91</v>
      </c>
    </row>
    <row r="21" spans="1:4" x14ac:dyDescent="0.25">
      <c r="A21" s="18" t="s">
        <v>92</v>
      </c>
      <c r="B21" s="18">
        <v>8</v>
      </c>
      <c r="C21" s="18">
        <v>4</v>
      </c>
      <c r="D21" s="23" t="s">
        <v>93</v>
      </c>
    </row>
    <row r="22" spans="1:4" x14ac:dyDescent="0.25">
      <c r="A22" s="18" t="s">
        <v>94</v>
      </c>
      <c r="B22" s="18">
        <v>32</v>
      </c>
      <c r="C22" s="18">
        <v>12</v>
      </c>
      <c r="D22" s="23" t="s">
        <v>95</v>
      </c>
    </row>
    <row r="23" spans="1:4" x14ac:dyDescent="0.25">
      <c r="A23" s="18" t="s">
        <v>96</v>
      </c>
      <c r="B23" s="18">
        <v>8</v>
      </c>
      <c r="C23" s="18">
        <v>8</v>
      </c>
      <c r="D23" s="23" t="s">
        <v>97</v>
      </c>
    </row>
    <row r="24" spans="1:4" x14ac:dyDescent="0.25">
      <c r="A24" s="3" t="s">
        <v>98</v>
      </c>
      <c r="B24" s="3">
        <f>B20+B21+B22</f>
        <v>56</v>
      </c>
      <c r="C24" s="3">
        <f>C20+C21+C22</f>
        <v>29</v>
      </c>
      <c r="D24" s="2" t="s">
        <v>99</v>
      </c>
    </row>
    <row r="27" spans="1:4" x14ac:dyDescent="0.25">
      <c r="A27" s="3" t="s">
        <v>100</v>
      </c>
    </row>
    <row r="28" spans="1:4" x14ac:dyDescent="0.25">
      <c r="A28" s="4" t="s">
        <v>101</v>
      </c>
      <c r="B28" s="6">
        <v>345000</v>
      </c>
      <c r="C28" s="2" t="s">
        <v>102</v>
      </c>
    </row>
    <row r="29" spans="1:4" x14ac:dyDescent="0.25">
      <c r="A29" s="4" t="s">
        <v>103</v>
      </c>
      <c r="B29" s="6">
        <v>400</v>
      </c>
      <c r="C29" s="2" t="s">
        <v>104</v>
      </c>
    </row>
    <row r="30" spans="1:4" x14ac:dyDescent="0.25">
      <c r="A30" s="4" t="s">
        <v>105</v>
      </c>
      <c r="B30" s="6">
        <v>288</v>
      </c>
      <c r="C30" s="2" t="s">
        <v>106</v>
      </c>
    </row>
    <row r="32" spans="1:4" x14ac:dyDescent="0.25">
      <c r="A32" s="2" t="s">
        <v>107</v>
      </c>
    </row>
    <row r="33" spans="1:2" x14ac:dyDescent="0.25">
      <c r="A33" s="2" t="s">
        <v>108</v>
      </c>
    </row>
    <row r="34" spans="1:2" x14ac:dyDescent="0.25">
      <c r="A34" s="2" t="s">
        <v>109</v>
      </c>
    </row>
    <row r="36" spans="1:2" x14ac:dyDescent="0.25">
      <c r="A36" s="3" t="s">
        <v>110</v>
      </c>
    </row>
    <row r="37" spans="1:2" x14ac:dyDescent="0.25">
      <c r="A37" s="3" t="s">
        <v>111</v>
      </c>
      <c r="B37" s="2" t="s">
        <v>112</v>
      </c>
    </row>
    <row r="38" spans="1:2" x14ac:dyDescent="0.25">
      <c r="A38" s="4"/>
      <c r="B38" s="2" t="s">
        <v>113</v>
      </c>
    </row>
    <row r="39" spans="1:2" x14ac:dyDescent="0.25">
      <c r="A39" s="4"/>
      <c r="B39" s="2" t="s">
        <v>114</v>
      </c>
    </row>
    <row r="40" spans="1:2" x14ac:dyDescent="0.25">
      <c r="A40" s="3" t="s">
        <v>115</v>
      </c>
      <c r="B40" s="2" t="s">
        <v>116</v>
      </c>
    </row>
    <row r="41" spans="1:2" x14ac:dyDescent="0.25">
      <c r="A41" s="3" t="s">
        <v>117</v>
      </c>
      <c r="B41" s="2" t="s">
        <v>118</v>
      </c>
    </row>
    <row r="42" spans="1:2" x14ac:dyDescent="0.25">
      <c r="A42" s="4"/>
      <c r="B42" s="2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Scenarios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foster</cp:lastModifiedBy>
  <dcterms:created xsi:type="dcterms:W3CDTF">2026-07-18T06:49:05Z</dcterms:created>
  <dcterms:modified xsi:type="dcterms:W3CDTF">2026-07-18T06:58:05Z</dcterms:modified>
</cp:coreProperties>
</file>